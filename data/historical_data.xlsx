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Deliveries June 2026" sheetId="2" state="visible" r:id="rId2"/>
    <sheet xmlns:r="http://schemas.openxmlformats.org/officeDocument/2006/relationships" name="Summary June 2026" sheetId="3" state="visible" r:id="rId3"/>
    <sheet xmlns:r="http://schemas.openxmlformats.org/officeDocument/2006/relationships" name="Deliveries July 2026" sheetId="4" state="visible" r:id="rId4"/>
    <sheet xmlns:r="http://schemas.openxmlformats.org/officeDocument/2006/relationships" name="Summary July 2026" sheetId="5" state="visible" r:id="rId5"/>
    <sheet xmlns:r="http://schemas.openxmlformats.org/officeDocument/2006/relationships" name="Deliveries September 2026" sheetId="6" state="visible" r:id="rId6"/>
    <sheet xmlns:r="http://schemas.openxmlformats.org/officeDocument/2006/relationships" name="Summary September 2026" sheetId="7" state="visible" r:id="rId7"/>
    <sheet xmlns:r="http://schemas.openxmlformats.org/officeDocument/2006/relationships" name="Deliveries October 2026" sheetId="8" state="visible" r:id="rId8"/>
    <sheet xmlns:r="http://schemas.openxmlformats.org/officeDocument/2006/relationships" name="Summary October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9"/>
    </font>
    <font>
      <name val="Calibri"/>
      <color rgb="001E293B"/>
      <sz val="10"/>
    </font>
    <font>
      <name val="Calibri"/>
      <color rgb="000033A0"/>
      <sz val="10"/>
    </font>
    <font>
      <name val="Calibri"/>
      <color rgb="00005B8E"/>
      <sz val="10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b val="1"/>
      <color rgb="000033A0"/>
      <sz val="10"/>
    </font>
    <font>
      <name val="Calibri"/>
      <b val="1"/>
      <color rgb="00005B8E"/>
      <sz val="10"/>
    </font>
    <font>
      <name val="Calibri"/>
      <color rgb="0064748B"/>
      <sz val="10"/>
    </font>
    <font>
      <name val="Calibri"/>
      <color rgb="0016A34A"/>
      <sz val="10"/>
    </font>
    <font>
      <name val="Calibri"/>
      <color rgb="00DC2626"/>
      <sz val="10"/>
    </font>
    <font>
      <name val="Calibri"/>
      <b val="1"/>
      <color rgb="0090CAFF"/>
      <sz val="10"/>
    </font>
    <font>
      <name val="Calibri"/>
      <b val="1"/>
      <color rgb="0090E0FF"/>
      <sz val="10"/>
    </font>
    <font>
      <name val="Calibri"/>
      <b val="1"/>
      <color rgb="00FFB0B0"/>
      <sz val="10"/>
    </font>
    <font>
      <name val="Calibri"/>
      <i val="1"/>
      <color rgb="0064748B"/>
      <sz val="8"/>
    </font>
    <font>
      <name val="Calibri"/>
      <color rgb="001A5276"/>
      <sz val="10"/>
    </font>
  </fonts>
  <fills count="10">
    <fill>
      <patternFill/>
    </fill>
    <fill>
      <patternFill patternType="gray125"/>
    </fill>
    <fill>
      <patternFill patternType="solid">
        <fgColor rgb="000D1F3C"/>
        <bgColor rgb="000D1F3C"/>
      </patternFill>
    </fill>
    <fill>
      <patternFill patternType="solid">
        <fgColor rgb="000033A0"/>
        <bgColor rgb="000033A0"/>
      </patternFill>
    </fill>
    <fill>
      <patternFill patternType="solid">
        <fgColor rgb="00005B8E"/>
        <bgColor rgb="00005B8E"/>
      </patternFill>
    </fill>
    <fill>
      <patternFill patternType="solid">
        <fgColor rgb="001A3A5C"/>
        <bgColor rgb="001A3A5C"/>
      </patternFill>
    </fill>
    <fill>
      <patternFill patternType="solid">
        <fgColor rgb="000A3D5C"/>
        <bgColor rgb="000A3D5C"/>
      </patternFill>
    </fill>
    <fill>
      <patternFill patternType="solid">
        <fgColor rgb="0064748B"/>
        <bgColor rgb="0064748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Deliveries — June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'Deliveries June 2026'!B3</f>
            </strRef>
          </tx>
          <spPr>
            <a:solidFill xmlns:a="http://schemas.openxmlformats.org/drawingml/2006/main">
              <a:srgbClr val="0033A0"/>
            </a:solidFill>
            <a:ln xmlns:a="http://schemas.openxmlformats.org/drawingml/2006/main">
              <a:prstDash val="solid"/>
            </a:ln>
          </spPr>
          <cat>
            <numRef>
              <f>'Deliveries June 2026'!$A$4:$A$9</f>
            </numRef>
          </cat>
          <val>
            <numRef>
              <f>'Deliveries June 2026'!$B$4:$B$9</f>
            </numRef>
          </val>
        </ser>
        <ser>
          <idx val="1"/>
          <order val="1"/>
          <tx>
            <strRef>
              <f>'Deliveries June 2026'!C3</f>
            </strRef>
          </tx>
          <spPr>
            <a:solidFill xmlns:a="http://schemas.openxmlformats.org/drawingml/2006/main">
              <a:srgbClr val="00AEEF"/>
            </a:solidFill>
            <a:ln xmlns:a="http://schemas.openxmlformats.org/drawingml/2006/main">
              <a:prstDash val="solid"/>
            </a:ln>
          </spPr>
          <cat>
            <numRef>
              <f>'Deliveries June 2026'!$A$4:$A$9</f>
            </numRef>
          </cat>
          <val>
            <numRef>
              <f>'Deliveries June 2026'!$C$4:$C$9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Aircraft Delivered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Deliveries — July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'Deliveries July 2026'!B3</f>
            </strRef>
          </tx>
          <spPr>
            <a:solidFill xmlns:a="http://schemas.openxmlformats.org/drawingml/2006/main">
              <a:srgbClr val="0033A0"/>
            </a:solidFill>
            <a:ln xmlns:a="http://schemas.openxmlformats.org/drawingml/2006/main">
              <a:prstDash val="solid"/>
            </a:ln>
          </spPr>
          <cat>
            <numRef>
              <f>'Deliveries July 2026'!$A$4:$A$10</f>
            </numRef>
          </cat>
          <val>
            <numRef>
              <f>'Deliveries July 2026'!$B$4:$B$10</f>
            </numRef>
          </val>
        </ser>
        <ser>
          <idx val="1"/>
          <order val="1"/>
          <tx>
            <strRef>
              <f>'Deliveries July 2026'!C3</f>
            </strRef>
          </tx>
          <spPr>
            <a:solidFill xmlns:a="http://schemas.openxmlformats.org/drawingml/2006/main">
              <a:srgbClr val="00AEEF"/>
            </a:solidFill>
            <a:ln xmlns:a="http://schemas.openxmlformats.org/drawingml/2006/main">
              <a:prstDash val="solid"/>
            </a:ln>
          </spPr>
          <cat>
            <numRef>
              <f>'Deliveries July 2026'!$A$4:$A$10</f>
            </numRef>
          </cat>
          <val>
            <numRef>
              <f>'Deliveries July 2026'!$C$4:$C$10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Aircraft Delivered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Deliveries — September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'Deliveries September 2026'!B3</f>
            </strRef>
          </tx>
          <spPr>
            <a:solidFill xmlns:a="http://schemas.openxmlformats.org/drawingml/2006/main">
              <a:srgbClr val="0033A0"/>
            </a:solidFill>
            <a:ln xmlns:a="http://schemas.openxmlformats.org/drawingml/2006/main">
              <a:prstDash val="solid"/>
            </a:ln>
          </spPr>
          <cat>
            <numRef>
              <f>'Deliveries September 2026'!$A$4:$A$12</f>
            </numRef>
          </cat>
          <val>
            <numRef>
              <f>'Deliveries September 2026'!$B$4:$B$12</f>
            </numRef>
          </val>
        </ser>
        <ser>
          <idx val="1"/>
          <order val="1"/>
          <tx>
            <strRef>
              <f>'Deliveries September 2026'!C3</f>
            </strRef>
          </tx>
          <spPr>
            <a:solidFill xmlns:a="http://schemas.openxmlformats.org/drawingml/2006/main">
              <a:srgbClr val="00AEEF"/>
            </a:solidFill>
            <a:ln xmlns:a="http://schemas.openxmlformats.org/drawingml/2006/main">
              <a:prstDash val="solid"/>
            </a:ln>
          </spPr>
          <cat>
            <numRef>
              <f>'Deliveries September 2026'!$A$4:$A$12</f>
            </numRef>
          </cat>
          <val>
            <numRef>
              <f>'Deliveries September 2026'!$C$4:$C$12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Aircraft Delivered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Deliveries — October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'Deliveries October 2026'!B3</f>
            </strRef>
          </tx>
          <spPr>
            <a:solidFill xmlns:a="http://schemas.openxmlformats.org/drawingml/2006/main">
              <a:srgbClr val="0033A0"/>
            </a:solidFill>
            <a:ln xmlns:a="http://schemas.openxmlformats.org/drawingml/2006/main">
              <a:prstDash val="solid"/>
            </a:ln>
          </spPr>
          <cat>
            <numRef>
              <f>'Deliveries October 2026'!$A$4:$A$13</f>
            </numRef>
          </cat>
          <val>
            <numRef>
              <f>'Deliveries October 2026'!$B$4:$B$13</f>
            </numRef>
          </val>
        </ser>
        <ser>
          <idx val="1"/>
          <order val="1"/>
          <tx>
            <strRef>
              <f>'Deliveries October 2026'!C3</f>
            </strRef>
          </tx>
          <spPr>
            <a:solidFill xmlns:a="http://schemas.openxmlformats.org/drawingml/2006/main">
              <a:srgbClr val="00AEEF"/>
            </a:solidFill>
            <a:ln xmlns:a="http://schemas.openxmlformats.org/drawingml/2006/main">
              <a:prstDash val="solid"/>
            </a:ln>
          </spPr>
          <cat>
            <numRef>
              <f>'Deliveries October 2026'!$A$4:$A$13</f>
            </numRef>
          </cat>
          <val>
            <numRef>
              <f>'Deliveries October 2026'!$C$4:$C$13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Aircraft Delivered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6" customWidth="1" min="27" max="27"/>
    <col width="18" customWidth="1" min="28" max="28"/>
  </cols>
  <sheetData>
    <row r="1" ht="36" customHeight="1">
      <c r="A1" s="1" t="inlineStr">
        <is>
          <t>EuroAir Intel — Manufacturer Historical Archive</t>
        </is>
      </c>
    </row>
    <row r="2" ht="28" customHeight="1">
      <c r="A2" s="2" t="inlineStr">
        <is>
          <t>Report Month</t>
        </is>
      </c>
      <c r="B2" s="2" t="inlineStr">
        <is>
          <t>Report Date</t>
        </is>
      </c>
      <c r="C2" s="3" t="inlineStr">
        <is>
          <t>Boeing Deliveries YTD</t>
        </is>
      </c>
      <c r="D2" s="3" t="inlineStr">
        <is>
          <t>Boeing Orders YTD</t>
        </is>
      </c>
      <c r="E2" s="3" t="inlineStr">
        <is>
          <t>Boeing Backlog</t>
        </is>
      </c>
      <c r="F2" s="3" t="inlineStr">
        <is>
          <t>Boeing Backlog Years</t>
        </is>
      </c>
      <c r="G2" s="3" t="inlineStr">
        <is>
          <t>Boeing 737MAX YTD</t>
        </is>
      </c>
      <c r="H2" s="3" t="inlineStr">
        <is>
          <t>Boeing 787 YTD</t>
        </is>
      </c>
      <c r="I2" s="3" t="inlineStr">
        <is>
          <t>Boeing 777 YTD</t>
        </is>
      </c>
      <c r="J2" s="3" t="inlineStr">
        <is>
          <t>Boeing 767 YTD</t>
        </is>
      </c>
      <c r="K2" s="4" t="inlineStr">
        <is>
          <t>Airbus Deliveries YTD</t>
        </is>
      </c>
      <c r="L2" s="4" t="inlineStr">
        <is>
          <t>Airbus Orders YTD</t>
        </is>
      </c>
      <c r="M2" s="4" t="inlineStr">
        <is>
          <t>Airbus Backlog</t>
        </is>
      </c>
      <c r="N2" s="4" t="inlineStr">
        <is>
          <t>Airbus Backlog Years</t>
        </is>
      </c>
      <c r="O2" s="4" t="inlineStr">
        <is>
          <t>Airbus A320neo YTD</t>
        </is>
      </c>
      <c r="P2" s="4" t="inlineStr">
        <is>
          <t>Airbus A350 YTD</t>
        </is>
      </c>
      <c r="Q2" s="4" t="inlineStr">
        <is>
          <t>Airbus A220 YTD</t>
        </is>
      </c>
      <c r="R2" s="4" t="inlineStr">
        <is>
          <t>Airbus A330 YTD</t>
        </is>
      </c>
      <c r="S2" s="5" t="inlineStr">
        <is>
          <t>BA Price (USD)</t>
        </is>
      </c>
      <c r="T2" s="5" t="inlineStr">
        <is>
          <t>BA Change %</t>
        </is>
      </c>
      <c r="U2" s="5" t="inlineStr">
        <is>
          <t>BA 52w High</t>
        </is>
      </c>
      <c r="V2" s="5" t="inlineStr">
        <is>
          <t>BA 52w Low</t>
        </is>
      </c>
      <c r="W2" s="6" t="inlineStr">
        <is>
          <t>AIR.PA Price (EUR)</t>
        </is>
      </c>
      <c r="X2" s="6" t="inlineStr">
        <is>
          <t>AIR.PA Change %</t>
        </is>
      </c>
      <c r="Y2" s="6" t="inlineStr">
        <is>
          <t>AIR.PA 52w High</t>
        </is>
      </c>
      <c r="Z2" s="6" t="inlineStr">
        <is>
          <t>AIR.PA 52w Low</t>
        </is>
      </c>
      <c r="AA2" s="7" t="inlineStr">
        <is>
          <t>Data Source</t>
        </is>
      </c>
      <c r="AB2" s="7" t="inlineStr">
        <is>
          <t>Notes</t>
        </is>
      </c>
    </row>
    <row r="3" ht="20" customHeight="1">
      <c r="A3" s="97" t="inlineStr">
        <is>
          <t>June 2026</t>
        </is>
      </c>
      <c r="B3" s="97" t="inlineStr">
        <is>
          <t>2026-06-19</t>
        </is>
      </c>
      <c r="C3" s="110" t="n">
        <v>250</v>
      </c>
      <c r="D3" s="110" t="n">
        <v>324</v>
      </c>
      <c r="E3" s="110" t="n">
        <v>6758</v>
      </c>
      <c r="F3" s="110" t="n">
        <v>10.1</v>
      </c>
      <c r="G3" s="110" t="n">
        <v>196</v>
      </c>
      <c r="H3" s="110" t="n">
        <v>33</v>
      </c>
      <c r="I3" s="110" t="n">
        <v>12</v>
      </c>
      <c r="J3" s="110" t="n">
        <v>9</v>
      </c>
      <c r="K3" s="111" t="n">
        <v>262</v>
      </c>
      <c r="L3" s="111" t="n">
        <v>815</v>
      </c>
      <c r="M3" s="111" t="n">
        <v>9031</v>
      </c>
      <c r="N3" s="111" t="n">
        <v>10.4</v>
      </c>
      <c r="O3" s="111" t="n">
        <v>193</v>
      </c>
      <c r="P3" s="111" t="n">
        <v>38</v>
      </c>
      <c r="Q3" s="111" t="n">
        <v>21</v>
      </c>
      <c r="R3" s="111" t="n">
        <v>10</v>
      </c>
      <c r="S3" s="97" t="n">
        <v>222.72</v>
      </c>
      <c r="T3" s="97" t="n">
        <v>-1.29</v>
      </c>
      <c r="U3" s="97" t="n">
        <v>254.35</v>
      </c>
      <c r="V3" s="97" t="n">
        <v>176.77</v>
      </c>
      <c r="W3" s="97" t="n">
        <v>189.42</v>
      </c>
      <c r="X3" s="97" t="n">
        <v>-1.31</v>
      </c>
      <c r="Y3" s="97" t="n">
        <v>221.3</v>
      </c>
      <c r="Z3" s="97" t="n">
        <v>157.42</v>
      </c>
      <c r="AA3" s="97" t="inlineStr">
        <is>
          <t>fallback_verified</t>
        </is>
      </c>
      <c r="AB3" s="97" t="inlineStr"/>
    </row>
    <row r="4">
      <c r="A4" s="97" t="inlineStr">
        <is>
          <t>July 2026</t>
        </is>
      </c>
      <c r="B4" s="97" t="inlineStr">
        <is>
          <t>2026-07-17</t>
        </is>
      </c>
      <c r="C4" s="110" t="n">
        <v>250</v>
      </c>
      <c r="D4" s="110" t="n">
        <v>324</v>
      </c>
      <c r="E4" s="110" t="n">
        <v>6758</v>
      </c>
      <c r="F4" s="110" t="n">
        <v>10.1</v>
      </c>
      <c r="G4" s="110" t="n">
        <v>196</v>
      </c>
      <c r="H4" s="110" t="n">
        <v>33</v>
      </c>
      <c r="I4" s="110" t="n">
        <v>12</v>
      </c>
      <c r="J4" s="110" t="n">
        <v>9</v>
      </c>
      <c r="K4" s="111" t="n">
        <v>262</v>
      </c>
      <c r="L4" s="111" t="n">
        <v>815</v>
      </c>
      <c r="M4" s="111" t="n">
        <v>9031</v>
      </c>
      <c r="N4" s="111" t="n">
        <v>10.4</v>
      </c>
      <c r="O4" s="111" t="n">
        <v>193</v>
      </c>
      <c r="P4" s="111" t="n">
        <v>38</v>
      </c>
      <c r="Q4" s="111" t="n">
        <v>21</v>
      </c>
      <c r="R4" s="111" t="n">
        <v>10</v>
      </c>
      <c r="S4" s="38" t="n">
        <v>214.34</v>
      </c>
      <c r="T4" s="38" t="n">
        <v>-1.73</v>
      </c>
      <c r="U4" s="38" t="n">
        <v>254.35</v>
      </c>
      <c r="V4" s="38" t="n">
        <v>176.77</v>
      </c>
      <c r="W4" s="38" t="n">
        <v>192.94</v>
      </c>
      <c r="X4" s="38" t="n">
        <v>-1.37</v>
      </c>
      <c r="Y4" s="38" t="n">
        <v>221.3</v>
      </c>
      <c r="Z4" s="38" t="n">
        <v>157.42</v>
      </c>
      <c r="AA4" s="97" t="inlineStr">
        <is>
          <t>fallback_verified</t>
        </is>
      </c>
      <c r="AB4" s="97" t="inlineStr"/>
    </row>
    <row r="5">
      <c r="A5" s="91" t="inlineStr">
        <is>
          <t>September 2026</t>
        </is>
      </c>
      <c r="B5" s="91" t="inlineStr">
        <is>
          <t>2026-09-16</t>
        </is>
      </c>
      <c r="C5" s="91" t="n">
        <v>250</v>
      </c>
      <c r="D5" s="91" t="n">
        <v>324</v>
      </c>
      <c r="E5" s="91" t="n">
        <v>6758</v>
      </c>
      <c r="F5" s="91" t="n">
        <v>10.1</v>
      </c>
      <c r="G5" s="91" t="n">
        <v>196</v>
      </c>
      <c r="H5" s="91" t="n">
        <v>33</v>
      </c>
      <c r="I5" s="91" t="n">
        <v>12</v>
      </c>
      <c r="J5" s="91" t="n">
        <v>9</v>
      </c>
      <c r="K5" s="91" t="n">
        <v>262</v>
      </c>
      <c r="L5" s="91" t="n">
        <v>815</v>
      </c>
      <c r="M5" s="91" t="n">
        <v>9031</v>
      </c>
      <c r="N5" s="91" t="n">
        <v>10.4</v>
      </c>
      <c r="O5" s="91" t="n">
        <v>193</v>
      </c>
      <c r="P5" s="91" t="n">
        <v>38</v>
      </c>
      <c r="Q5" s="91" t="n">
        <v>21</v>
      </c>
      <c r="R5" s="91" t="n">
        <v>10</v>
      </c>
      <c r="S5" s="91" t="n">
        <v>209.69</v>
      </c>
      <c r="T5" s="91" t="n">
        <v>-0.28</v>
      </c>
      <c r="U5" s="91" t="n">
        <v>254.35</v>
      </c>
      <c r="V5" s="91" t="n">
        <v>176.77</v>
      </c>
      <c r="W5" s="91" t="n">
        <v>195.6</v>
      </c>
      <c r="X5" s="91" t="n">
        <v>0.41</v>
      </c>
      <c r="Y5" s="91" t="n">
        <v>221.3</v>
      </c>
      <c r="Z5" s="91" t="n">
        <v>157.42</v>
      </c>
      <c r="AA5" s="91" t="inlineStr">
        <is>
          <t>fallback_verified</t>
        </is>
      </c>
      <c r="AB5" s="91" t="inlineStr"/>
    </row>
    <row r="6">
      <c r="A6" s="118" t="inlineStr">
        <is>
          <t>October 2026</t>
        </is>
      </c>
      <c r="B6" s="118" t="inlineStr">
        <is>
          <t>2026-10-15</t>
        </is>
      </c>
      <c r="C6" s="119" t="n">
        <v>250</v>
      </c>
      <c r="D6" s="119" t="n">
        <v>324</v>
      </c>
      <c r="E6" s="119" t="n">
        <v>6758</v>
      </c>
      <c r="F6" s="119" t="n">
        <v>10.1</v>
      </c>
      <c r="G6" s="119" t="n">
        <v>196</v>
      </c>
      <c r="H6" s="119" t="n">
        <v>33</v>
      </c>
      <c r="I6" s="119" t="n">
        <v>12</v>
      </c>
      <c r="J6" s="119" t="n">
        <v>9</v>
      </c>
      <c r="K6" s="120" t="n">
        <v>262</v>
      </c>
      <c r="L6" s="120" t="n">
        <v>815</v>
      </c>
      <c r="M6" s="120" t="n">
        <v>9031</v>
      </c>
      <c r="N6" s="120" t="n">
        <v>10.4</v>
      </c>
      <c r="O6" s="120" t="n">
        <v>193</v>
      </c>
      <c r="P6" s="120" t="n">
        <v>38</v>
      </c>
      <c r="Q6" s="120" t="n">
        <v>21</v>
      </c>
      <c r="R6" s="120" t="n">
        <v>10</v>
      </c>
      <c r="S6" s="121" t="n">
        <v>184.66</v>
      </c>
      <c r="T6" s="121" t="n">
        <v>-0.98</v>
      </c>
      <c r="U6" s="121" t="n">
        <v>254.35</v>
      </c>
      <c r="V6" s="121" t="n">
        <v>176.77</v>
      </c>
      <c r="W6" s="121" t="n">
        <v>193.62</v>
      </c>
      <c r="X6" s="121" t="n">
        <v>1.79</v>
      </c>
      <c r="Y6" s="121" t="n">
        <v>221.3</v>
      </c>
      <c r="Z6" s="121" t="n">
        <v>157.42</v>
      </c>
      <c r="AA6" s="118" t="inlineStr">
        <is>
          <t>fallback_verified</t>
        </is>
      </c>
      <c r="AB6" s="118" t="inlineStr"/>
    </row>
  </sheetData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92" t="inlineStr">
        <is>
          <t>Monthly Deliveries 2026 YTD — June 2026</t>
        </is>
      </c>
    </row>
    <row r="2"/>
    <row r="3">
      <c r="A3" s="93" t="inlineStr">
        <is>
          <t>Month</t>
        </is>
      </c>
      <c r="B3" s="94" t="inlineStr">
        <is>
          <t>Boeing</t>
        </is>
      </c>
      <c r="C3" s="95" t="inlineStr">
        <is>
          <t>Airbus</t>
        </is>
      </c>
      <c r="D3" s="96" t="inlineStr">
        <is>
          <t>Combined</t>
        </is>
      </c>
      <c r="E3" s="93" t="inlineStr">
        <is>
          <t>Boeing Lead</t>
        </is>
      </c>
    </row>
    <row r="4" ht="20" customHeight="1">
      <c r="A4" s="97" t="inlineStr">
        <is>
          <t>Jan</t>
        </is>
      </c>
      <c r="B4" s="98" t="n">
        <v>46</v>
      </c>
      <c r="C4" s="99" t="n">
        <v>19</v>
      </c>
      <c r="D4" s="100" t="n">
        <v>65</v>
      </c>
      <c r="E4" s="101" t="n">
        <v>27</v>
      </c>
    </row>
    <row r="5" ht="20" customHeight="1">
      <c r="A5" s="91" t="inlineStr">
        <is>
          <t>Feb</t>
        </is>
      </c>
      <c r="B5" s="102" t="n">
        <v>51</v>
      </c>
      <c r="C5" s="103" t="n">
        <v>35</v>
      </c>
      <c r="D5" s="104" t="n">
        <v>86</v>
      </c>
      <c r="E5" s="105" t="n">
        <v>16</v>
      </c>
    </row>
    <row r="6" ht="20" customHeight="1">
      <c r="A6" s="97" t="inlineStr">
        <is>
          <t>Mar</t>
        </is>
      </c>
      <c r="B6" s="98" t="n">
        <v>46</v>
      </c>
      <c r="C6" s="99" t="n">
        <v>60</v>
      </c>
      <c r="D6" s="100" t="n">
        <v>106</v>
      </c>
      <c r="E6" s="106" t="n">
        <v>-14</v>
      </c>
    </row>
    <row r="7" ht="20" customHeight="1">
      <c r="A7" s="91" t="inlineStr">
        <is>
          <t>Apr</t>
        </is>
      </c>
      <c r="B7" s="102" t="n">
        <v>47</v>
      </c>
      <c r="C7" s="103" t="n">
        <v>67</v>
      </c>
      <c r="D7" s="104" t="n">
        <v>114</v>
      </c>
      <c r="E7" s="107" t="n">
        <v>-20</v>
      </c>
    </row>
    <row r="8" ht="20" customHeight="1">
      <c r="A8" s="97" t="inlineStr">
        <is>
          <t>May</t>
        </is>
      </c>
      <c r="B8" s="98" t="n">
        <v>60</v>
      </c>
      <c r="C8" s="99" t="n">
        <v>81</v>
      </c>
      <c r="D8" s="100" t="n">
        <v>141</v>
      </c>
      <c r="E8" s="106" t="n">
        <v>-21</v>
      </c>
    </row>
    <row r="9" ht="20" customHeight="1">
      <c r="A9" s="91" t="inlineStr">
        <is>
          <t>Jun</t>
        </is>
      </c>
      <c r="B9" s="108" t="n">
        <v>0</v>
      </c>
      <c r="C9" s="109" t="n">
        <v>0</v>
      </c>
      <c r="D9" s="104" t="n">
        <v>0</v>
      </c>
      <c r="E9" s="105" t="n">
        <v>0</v>
      </c>
    </row>
    <row r="10" ht="24" customHeight="1">
      <c r="A10" s="93" t="inlineStr">
        <is>
          <t>TOTAL YTD</t>
        </is>
      </c>
      <c r="B10" s="112" t="n">
        <v>250</v>
      </c>
      <c r="C10" s="113" t="n">
        <v>262</v>
      </c>
      <c r="D10" s="93" t="n">
        <v>512</v>
      </c>
      <c r="E10" s="114" t="n">
        <v>-12</v>
      </c>
    </row>
  </sheetData>
  <mergeCells count="1">
    <mergeCell ref="A1: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 ht="32" customHeight="1">
      <c r="A1" s="92" t="inlineStr">
        <is>
          <t>EuroAir Intel — June 2026 Summary</t>
        </is>
      </c>
    </row>
    <row r="2"/>
    <row r="3">
      <c r="A3" s="93" t="inlineStr">
        <is>
          <t>Metric</t>
        </is>
      </c>
      <c r="B3" s="94" t="inlineStr">
        <is>
          <t>Boeing</t>
        </is>
      </c>
      <c r="C3" s="95" t="inlineStr">
        <is>
          <t>Airbus</t>
        </is>
      </c>
    </row>
    <row r="4" ht="22" customHeight="1">
      <c r="A4" s="115" t="inlineStr">
        <is>
          <t>Deliveries YTD</t>
        </is>
      </c>
      <c r="B4" s="98" t="n">
        <v>250</v>
      </c>
      <c r="C4" s="99" t="n">
        <v>262</v>
      </c>
    </row>
    <row r="5" ht="22" customHeight="1">
      <c r="A5" s="116" t="inlineStr">
        <is>
          <t>Gross Orders YTD</t>
        </is>
      </c>
      <c r="B5" s="102" t="n">
        <v>324</v>
      </c>
      <c r="C5" s="103" t="n">
        <v>815</v>
      </c>
    </row>
    <row r="6" ht="22" customHeight="1">
      <c r="A6" s="115" t="inlineStr">
        <is>
          <t>Total Backlog (ac)</t>
        </is>
      </c>
      <c r="B6" s="98" t="n">
        <v>6758</v>
      </c>
      <c r="C6" s="99" t="n">
        <v>9031</v>
      </c>
    </row>
    <row r="7" ht="22" customHeight="1">
      <c r="A7" s="116" t="inlineStr">
        <is>
          <t>Backlog Runway (yrs)</t>
        </is>
      </c>
      <c r="B7" s="102" t="n">
        <v>10.1</v>
      </c>
      <c r="C7" s="103" t="n">
        <v>10.4</v>
      </c>
    </row>
    <row r="8" ht="22" customHeight="1">
      <c r="A8" s="115" t="inlineStr">
        <is>
          <t>Narrowbody Deliv.</t>
        </is>
      </c>
      <c r="B8" s="98" t="n">
        <v>196</v>
      </c>
      <c r="C8" s="99" t="n">
        <v>193</v>
      </c>
    </row>
    <row r="9" ht="22" customHeight="1">
      <c r="A9" s="116" t="inlineStr">
        <is>
          <t>Widebody Deliv.</t>
        </is>
      </c>
      <c r="B9" s="102" t="n">
        <v>45</v>
      </c>
      <c r="C9" s="103" t="n">
        <v>48</v>
      </c>
    </row>
    <row r="10" ht="22" customHeight="1">
      <c r="A10" s="115" t="inlineStr">
        <is>
          <t>Stock Price</t>
        </is>
      </c>
      <c r="B10" s="98" t="inlineStr">
        <is>
          <t>$222.72 USD</t>
        </is>
      </c>
      <c r="C10" s="99" t="inlineStr">
        <is>
          <t>€189.42 EUR</t>
        </is>
      </c>
    </row>
    <row r="11" ht="22" customHeight="1">
      <c r="A11" s="116" t="inlineStr">
        <is>
          <t>Stock Change Today</t>
        </is>
      </c>
      <c r="B11" s="102" t="inlineStr">
        <is>
          <t>-1.29%</t>
        </is>
      </c>
      <c r="C11" s="103" t="inlineStr">
        <is>
          <t>-1.31%</t>
        </is>
      </c>
    </row>
    <row r="12" ht="22" customHeight="1">
      <c r="A12" s="115" t="inlineStr">
        <is>
          <t>52-Week High</t>
        </is>
      </c>
      <c r="B12" s="98" t="inlineStr">
        <is>
          <t>$254.35</t>
        </is>
      </c>
      <c r="C12" s="99" t="inlineStr">
        <is>
          <t>€221.3</t>
        </is>
      </c>
    </row>
    <row r="13" ht="22" customHeight="1">
      <c r="A13" s="116" t="inlineStr">
        <is>
          <t>52-Week Low</t>
        </is>
      </c>
      <c r="B13" s="102" t="inlineStr">
        <is>
          <t>$176.77</t>
        </is>
      </c>
      <c r="C13" s="103" t="inlineStr">
        <is>
          <t>€157.42</t>
        </is>
      </c>
    </row>
    <row r="15">
      <c r="A15" s="117" t="inlineStr">
        <is>
          <t>Source: Boeing.com · Airbus.com · Yahoo Finance · Generated 2026-06-19</t>
        </is>
      </c>
    </row>
  </sheetData>
  <mergeCells count="2">
    <mergeCell ref="A15:C15"/>
    <mergeCell ref="A1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92" t="inlineStr">
        <is>
          <t>Monthly Deliveries 2026 YTD — July 2026</t>
        </is>
      </c>
    </row>
    <row r="2"/>
    <row r="3">
      <c r="A3" s="93" t="inlineStr">
        <is>
          <t>Month</t>
        </is>
      </c>
      <c r="B3" s="94" t="inlineStr">
        <is>
          <t>Boeing</t>
        </is>
      </c>
      <c r="C3" s="95" t="inlineStr">
        <is>
          <t>Airbus</t>
        </is>
      </c>
      <c r="D3" s="96" t="inlineStr">
        <is>
          <t>Combined</t>
        </is>
      </c>
      <c r="E3" s="93" t="inlineStr">
        <is>
          <t>Boeing Lead</t>
        </is>
      </c>
    </row>
    <row r="4" ht="20" customHeight="1">
      <c r="A4" s="97" t="inlineStr">
        <is>
          <t>Jan</t>
        </is>
      </c>
      <c r="B4" s="98" t="n">
        <v>46</v>
      </c>
      <c r="C4" s="99" t="n">
        <v>19</v>
      </c>
      <c r="D4" s="100" t="n">
        <v>65</v>
      </c>
      <c r="E4" s="101" t="n">
        <v>27</v>
      </c>
    </row>
    <row r="5" ht="20" customHeight="1">
      <c r="A5" s="91" t="inlineStr">
        <is>
          <t>Feb</t>
        </is>
      </c>
      <c r="B5" s="102" t="n">
        <v>51</v>
      </c>
      <c r="C5" s="103" t="n">
        <v>35</v>
      </c>
      <c r="D5" s="104" t="n">
        <v>86</v>
      </c>
      <c r="E5" s="105" t="n">
        <v>16</v>
      </c>
    </row>
    <row r="6" ht="20" customHeight="1">
      <c r="A6" s="97" t="inlineStr">
        <is>
          <t>Mar</t>
        </is>
      </c>
      <c r="B6" s="98" t="n">
        <v>46</v>
      </c>
      <c r="C6" s="99" t="n">
        <v>60</v>
      </c>
      <c r="D6" s="100" t="n">
        <v>106</v>
      </c>
      <c r="E6" s="106" t="n">
        <v>-14</v>
      </c>
    </row>
    <row r="7" ht="20" customHeight="1">
      <c r="A7" s="91" t="inlineStr">
        <is>
          <t>Apr</t>
        </is>
      </c>
      <c r="B7" s="102" t="n">
        <v>47</v>
      </c>
      <c r="C7" s="103" t="n">
        <v>67</v>
      </c>
      <c r="D7" s="104" t="n">
        <v>114</v>
      </c>
      <c r="E7" s="107" t="n">
        <v>-20</v>
      </c>
    </row>
    <row r="8" ht="20" customHeight="1">
      <c r="A8" s="97" t="inlineStr">
        <is>
          <t>May</t>
        </is>
      </c>
      <c r="B8" s="98" t="n">
        <v>60</v>
      </c>
      <c r="C8" s="99" t="n">
        <v>81</v>
      </c>
      <c r="D8" s="100" t="n">
        <v>141</v>
      </c>
      <c r="E8" s="106" t="n">
        <v>-21</v>
      </c>
    </row>
    <row r="9" ht="20" customHeight="1">
      <c r="A9" s="91" t="inlineStr">
        <is>
          <t>Jun</t>
        </is>
      </c>
      <c r="B9" s="108" t="n">
        <v>0</v>
      </c>
      <c r="C9" s="109" t="n">
        <v>0</v>
      </c>
      <c r="D9" s="104" t="n">
        <v>0</v>
      </c>
      <c r="E9" s="105" t="n">
        <v>0</v>
      </c>
    </row>
    <row r="10" ht="20" customHeight="1">
      <c r="A10" s="97" t="inlineStr">
        <is>
          <t>Jul</t>
        </is>
      </c>
      <c r="B10" s="110" t="n">
        <v>0</v>
      </c>
      <c r="C10" s="111" t="n">
        <v>0</v>
      </c>
      <c r="D10" s="100" t="n">
        <v>0</v>
      </c>
      <c r="E10" s="101" t="n">
        <v>0</v>
      </c>
    </row>
    <row r="11" ht="24" customHeight="1">
      <c r="A11" s="93" t="inlineStr">
        <is>
          <t>TOTAL YTD</t>
        </is>
      </c>
      <c r="B11" s="112" t="n">
        <v>250</v>
      </c>
      <c r="C11" s="113" t="n">
        <v>262</v>
      </c>
      <c r="D11" s="93" t="n">
        <v>512</v>
      </c>
      <c r="E11" s="114" t="n">
        <v>-12</v>
      </c>
    </row>
  </sheetData>
  <mergeCells count="1">
    <mergeCell ref="A1:E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 ht="32" customHeight="1">
      <c r="A1" s="92" t="inlineStr">
        <is>
          <t>EuroAir Intel — July 2026 Summary</t>
        </is>
      </c>
    </row>
    <row r="2"/>
    <row r="3">
      <c r="A3" s="93" t="inlineStr">
        <is>
          <t>Metric</t>
        </is>
      </c>
      <c r="B3" s="94" t="inlineStr">
        <is>
          <t>Boeing</t>
        </is>
      </c>
      <c r="C3" s="95" t="inlineStr">
        <is>
          <t>Airbus</t>
        </is>
      </c>
    </row>
    <row r="4" ht="22" customHeight="1">
      <c r="A4" s="115" t="inlineStr">
        <is>
          <t>Deliveries YTD</t>
        </is>
      </c>
      <c r="B4" s="98" t="n">
        <v>250</v>
      </c>
      <c r="C4" s="99" t="n">
        <v>262</v>
      </c>
    </row>
    <row r="5" ht="22" customHeight="1">
      <c r="A5" s="116" t="inlineStr">
        <is>
          <t>Gross Orders YTD</t>
        </is>
      </c>
      <c r="B5" s="102" t="n">
        <v>324</v>
      </c>
      <c r="C5" s="103" t="n">
        <v>815</v>
      </c>
    </row>
    <row r="6" ht="22" customHeight="1">
      <c r="A6" s="115" t="inlineStr">
        <is>
          <t>Total Backlog (ac)</t>
        </is>
      </c>
      <c r="B6" s="98" t="n">
        <v>6758</v>
      </c>
      <c r="C6" s="99" t="n">
        <v>9031</v>
      </c>
    </row>
    <row r="7" ht="22" customHeight="1">
      <c r="A7" s="116" t="inlineStr">
        <is>
          <t>Backlog Runway (yrs)</t>
        </is>
      </c>
      <c r="B7" s="102" t="n">
        <v>10.1</v>
      </c>
      <c r="C7" s="103" t="n">
        <v>10.4</v>
      </c>
    </row>
    <row r="8" ht="22" customHeight="1">
      <c r="A8" s="115" t="inlineStr">
        <is>
          <t>Narrowbody Deliv.</t>
        </is>
      </c>
      <c r="B8" s="98" t="n">
        <v>196</v>
      </c>
      <c r="C8" s="99" t="n">
        <v>193</v>
      </c>
    </row>
    <row r="9" ht="22" customHeight="1">
      <c r="A9" s="116" t="inlineStr">
        <is>
          <t>Widebody Deliv.</t>
        </is>
      </c>
      <c r="B9" s="102" t="n">
        <v>45</v>
      </c>
      <c r="C9" s="103" t="n">
        <v>48</v>
      </c>
    </row>
    <row r="10" ht="22" customHeight="1">
      <c r="A10" s="115" t="inlineStr">
        <is>
          <t>Stock Price</t>
        </is>
      </c>
      <c r="B10" s="98" t="inlineStr">
        <is>
          <t>$214.34 USD</t>
        </is>
      </c>
      <c r="C10" s="99" t="inlineStr">
        <is>
          <t>€192.94 EUR</t>
        </is>
      </c>
    </row>
    <row r="11" ht="22" customHeight="1">
      <c r="A11" s="116" t="inlineStr">
        <is>
          <t>Stock Change Today</t>
        </is>
      </c>
      <c r="B11" s="102" t="inlineStr">
        <is>
          <t>-1.73%</t>
        </is>
      </c>
      <c r="C11" s="103" t="inlineStr">
        <is>
          <t>-1.37%</t>
        </is>
      </c>
    </row>
    <row r="12" ht="22" customHeight="1">
      <c r="A12" s="115" t="inlineStr">
        <is>
          <t>52-Week High</t>
        </is>
      </c>
      <c r="B12" s="98" t="inlineStr">
        <is>
          <t>$254.35</t>
        </is>
      </c>
      <c r="C12" s="99" t="inlineStr">
        <is>
          <t>€221.3</t>
        </is>
      </c>
    </row>
    <row r="13" ht="22" customHeight="1">
      <c r="A13" s="116" t="inlineStr">
        <is>
          <t>52-Week Low</t>
        </is>
      </c>
      <c r="B13" s="102" t="inlineStr">
        <is>
          <t>$176.77</t>
        </is>
      </c>
      <c r="C13" s="103" t="inlineStr">
        <is>
          <t>€157.42</t>
        </is>
      </c>
    </row>
    <row r="15">
      <c r="A15" s="117" t="inlineStr">
        <is>
          <t>Source: Boeing.com · Airbus.com · Yahoo Finance · Generated 2026-07-17</t>
        </is>
      </c>
    </row>
  </sheetData>
  <mergeCells count="2">
    <mergeCell ref="A15:C15"/>
    <mergeCell ref="A1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92" t="inlineStr">
        <is>
          <t>Monthly Deliveries 2026 YTD — September 2026</t>
        </is>
      </c>
    </row>
    <row r="2"/>
    <row r="3">
      <c r="A3" s="93" t="inlineStr">
        <is>
          <t>Month</t>
        </is>
      </c>
      <c r="B3" s="94" t="inlineStr">
        <is>
          <t>Boeing</t>
        </is>
      </c>
      <c r="C3" s="95" t="inlineStr">
        <is>
          <t>Airbus</t>
        </is>
      </c>
      <c r="D3" s="96" t="inlineStr">
        <is>
          <t>Combined</t>
        </is>
      </c>
      <c r="E3" s="93" t="inlineStr">
        <is>
          <t>Boeing Lead</t>
        </is>
      </c>
    </row>
    <row r="4" ht="20" customHeight="1">
      <c r="A4" s="97" t="inlineStr">
        <is>
          <t>Jan</t>
        </is>
      </c>
      <c r="B4" s="98" t="n">
        <v>46</v>
      </c>
      <c r="C4" s="99" t="n">
        <v>19</v>
      </c>
      <c r="D4" s="100" t="n">
        <v>65</v>
      </c>
      <c r="E4" s="101" t="n">
        <v>27</v>
      </c>
    </row>
    <row r="5" ht="20" customHeight="1">
      <c r="A5" s="91" t="inlineStr">
        <is>
          <t>Feb</t>
        </is>
      </c>
      <c r="B5" s="102" t="n">
        <v>51</v>
      </c>
      <c r="C5" s="103" t="n">
        <v>35</v>
      </c>
      <c r="D5" s="104" t="n">
        <v>86</v>
      </c>
      <c r="E5" s="105" t="n">
        <v>16</v>
      </c>
    </row>
    <row r="6" ht="20" customHeight="1">
      <c r="A6" s="97" t="inlineStr">
        <is>
          <t>Mar</t>
        </is>
      </c>
      <c r="B6" s="98" t="n">
        <v>46</v>
      </c>
      <c r="C6" s="99" t="n">
        <v>60</v>
      </c>
      <c r="D6" s="100" t="n">
        <v>106</v>
      </c>
      <c r="E6" s="106" t="n">
        <v>-14</v>
      </c>
    </row>
    <row r="7" ht="20" customHeight="1">
      <c r="A7" s="91" t="inlineStr">
        <is>
          <t>Apr</t>
        </is>
      </c>
      <c r="B7" s="102" t="n">
        <v>47</v>
      </c>
      <c r="C7" s="103" t="n">
        <v>67</v>
      </c>
      <c r="D7" s="104" t="n">
        <v>114</v>
      </c>
      <c r="E7" s="107" t="n">
        <v>-20</v>
      </c>
    </row>
    <row r="8" ht="20" customHeight="1">
      <c r="A8" s="97" t="inlineStr">
        <is>
          <t>May</t>
        </is>
      </c>
      <c r="B8" s="98" t="n">
        <v>60</v>
      </c>
      <c r="C8" s="99" t="n">
        <v>81</v>
      </c>
      <c r="D8" s="100" t="n">
        <v>141</v>
      </c>
      <c r="E8" s="106" t="n">
        <v>-21</v>
      </c>
    </row>
    <row r="9" ht="20" customHeight="1">
      <c r="A9" s="91" t="inlineStr">
        <is>
          <t>Jun</t>
        </is>
      </c>
      <c r="B9" s="108" t="n">
        <v>0</v>
      </c>
      <c r="C9" s="109" t="n">
        <v>0</v>
      </c>
      <c r="D9" s="104" t="n">
        <v>0</v>
      </c>
      <c r="E9" s="105" t="n">
        <v>0</v>
      </c>
    </row>
    <row r="10" ht="20" customHeight="1">
      <c r="A10" s="97" t="inlineStr">
        <is>
          <t>Jul</t>
        </is>
      </c>
      <c r="B10" s="110" t="n">
        <v>0</v>
      </c>
      <c r="C10" s="111" t="n">
        <v>0</v>
      </c>
      <c r="D10" s="100" t="n">
        <v>0</v>
      </c>
      <c r="E10" s="101" t="n">
        <v>0</v>
      </c>
    </row>
    <row r="11" ht="20" customHeight="1">
      <c r="A11" s="91" t="inlineStr">
        <is>
          <t>Aug</t>
        </is>
      </c>
      <c r="B11" s="108" t="n">
        <v>0</v>
      </c>
      <c r="C11" s="109" t="n">
        <v>0</v>
      </c>
      <c r="D11" s="104" t="n">
        <v>0</v>
      </c>
      <c r="E11" s="105" t="n">
        <v>0</v>
      </c>
    </row>
    <row r="12" ht="20" customHeight="1">
      <c r="A12" s="97" t="inlineStr">
        <is>
          <t>Sep</t>
        </is>
      </c>
      <c r="B12" s="110" t="n">
        <v>0</v>
      </c>
      <c r="C12" s="111" t="n">
        <v>0</v>
      </c>
      <c r="D12" s="100" t="n">
        <v>0</v>
      </c>
      <c r="E12" s="101" t="n">
        <v>0</v>
      </c>
    </row>
    <row r="13" ht="24" customHeight="1">
      <c r="A13" s="93" t="inlineStr">
        <is>
          <t>TOTAL YTD</t>
        </is>
      </c>
      <c r="B13" s="112" t="n">
        <v>250</v>
      </c>
      <c r="C13" s="113" t="n">
        <v>262</v>
      </c>
      <c r="D13" s="93" t="n">
        <v>512</v>
      </c>
      <c r="E13" s="114" t="n">
        <v>-12</v>
      </c>
    </row>
  </sheetData>
  <mergeCells count="1">
    <mergeCell ref="A1:E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 ht="32" customHeight="1">
      <c r="A1" s="92" t="inlineStr">
        <is>
          <t>EuroAir Intel — September 2026 Summary</t>
        </is>
      </c>
    </row>
    <row r="2"/>
    <row r="3">
      <c r="A3" s="93" t="inlineStr">
        <is>
          <t>Metric</t>
        </is>
      </c>
      <c r="B3" s="94" t="inlineStr">
        <is>
          <t>Boeing</t>
        </is>
      </c>
      <c r="C3" s="95" t="inlineStr">
        <is>
          <t>Airbus</t>
        </is>
      </c>
    </row>
    <row r="4" ht="22" customHeight="1">
      <c r="A4" s="115" t="inlineStr">
        <is>
          <t>Deliveries YTD</t>
        </is>
      </c>
      <c r="B4" s="98" t="n">
        <v>250</v>
      </c>
      <c r="C4" s="99" t="n">
        <v>262</v>
      </c>
    </row>
    <row r="5" ht="22" customHeight="1">
      <c r="A5" s="116" t="inlineStr">
        <is>
          <t>Gross Orders YTD</t>
        </is>
      </c>
      <c r="B5" s="102" t="n">
        <v>324</v>
      </c>
      <c r="C5" s="103" t="n">
        <v>815</v>
      </c>
    </row>
    <row r="6" ht="22" customHeight="1">
      <c r="A6" s="115" t="inlineStr">
        <is>
          <t>Total Backlog (ac)</t>
        </is>
      </c>
      <c r="B6" s="98" t="n">
        <v>6758</v>
      </c>
      <c r="C6" s="99" t="n">
        <v>9031</v>
      </c>
    </row>
    <row r="7" ht="22" customHeight="1">
      <c r="A7" s="116" t="inlineStr">
        <is>
          <t>Backlog Runway (yrs)</t>
        </is>
      </c>
      <c r="B7" s="102" t="n">
        <v>10.1</v>
      </c>
      <c r="C7" s="103" t="n">
        <v>10.4</v>
      </c>
    </row>
    <row r="8" ht="22" customHeight="1">
      <c r="A8" s="115" t="inlineStr">
        <is>
          <t>Narrowbody Deliv.</t>
        </is>
      </c>
      <c r="B8" s="98" t="n">
        <v>196</v>
      </c>
      <c r="C8" s="99" t="n">
        <v>193</v>
      </c>
    </row>
    <row r="9" ht="22" customHeight="1">
      <c r="A9" s="116" t="inlineStr">
        <is>
          <t>Widebody Deliv.</t>
        </is>
      </c>
      <c r="B9" s="102" t="n">
        <v>45</v>
      </c>
      <c r="C9" s="103" t="n">
        <v>48</v>
      </c>
    </row>
    <row r="10" ht="22" customHeight="1">
      <c r="A10" s="115" t="inlineStr">
        <is>
          <t>Stock Price</t>
        </is>
      </c>
      <c r="B10" s="98" t="inlineStr">
        <is>
          <t>$209.69 USD</t>
        </is>
      </c>
      <c r="C10" s="99" t="inlineStr">
        <is>
          <t>€195.6 EUR</t>
        </is>
      </c>
    </row>
    <row r="11" ht="22" customHeight="1">
      <c r="A11" s="116" t="inlineStr">
        <is>
          <t>Stock Change Today</t>
        </is>
      </c>
      <c r="B11" s="102" t="inlineStr">
        <is>
          <t>-0.28%</t>
        </is>
      </c>
      <c r="C11" s="103" t="inlineStr">
        <is>
          <t>+0.41%</t>
        </is>
      </c>
    </row>
    <row r="12" ht="22" customHeight="1">
      <c r="A12" s="115" t="inlineStr">
        <is>
          <t>52-Week High</t>
        </is>
      </c>
      <c r="B12" s="98" t="inlineStr">
        <is>
          <t>$254.35</t>
        </is>
      </c>
      <c r="C12" s="99" t="inlineStr">
        <is>
          <t>€221.3</t>
        </is>
      </c>
    </row>
    <row r="13" ht="22" customHeight="1">
      <c r="A13" s="116" t="inlineStr">
        <is>
          <t>52-Week Low</t>
        </is>
      </c>
      <c r="B13" s="102" t="inlineStr">
        <is>
          <t>$176.77</t>
        </is>
      </c>
      <c r="C13" s="103" t="inlineStr">
        <is>
          <t>€157.42</t>
        </is>
      </c>
    </row>
    <row r="15">
      <c r="A15" s="117" t="inlineStr">
        <is>
          <t>Source: Boeing.com · Airbus.com · Yahoo Finance · Generated 2026-09-16</t>
        </is>
      </c>
    </row>
  </sheetData>
  <mergeCells count="2">
    <mergeCell ref="A15:C15"/>
    <mergeCell ref="A1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22" t="inlineStr">
        <is>
          <t>Monthly Deliveries 2026 YTD — October 2026</t>
        </is>
      </c>
    </row>
    <row r="2"/>
    <row r="3">
      <c r="A3" s="123" t="inlineStr">
        <is>
          <t>Month</t>
        </is>
      </c>
      <c r="B3" s="124" t="inlineStr">
        <is>
          <t>Boeing</t>
        </is>
      </c>
      <c r="C3" s="125" t="inlineStr">
        <is>
          <t>Airbus</t>
        </is>
      </c>
      <c r="D3" s="126" t="inlineStr">
        <is>
          <t>Combined</t>
        </is>
      </c>
      <c r="E3" s="123" t="inlineStr">
        <is>
          <t>Boeing Lead</t>
        </is>
      </c>
    </row>
    <row r="4" ht="20" customHeight="1">
      <c r="A4" s="118" t="inlineStr">
        <is>
          <t>Jan</t>
        </is>
      </c>
      <c r="B4" s="127" t="n">
        <v>46</v>
      </c>
      <c r="C4" s="128" t="n">
        <v>19</v>
      </c>
      <c r="D4" s="129" t="n">
        <v>65</v>
      </c>
      <c r="E4" s="130" t="n">
        <v>27</v>
      </c>
    </row>
    <row r="5" ht="20" customHeight="1">
      <c r="A5" s="131" t="inlineStr">
        <is>
          <t>Feb</t>
        </is>
      </c>
      <c r="B5" s="132" t="n">
        <v>51</v>
      </c>
      <c r="C5" s="133" t="n">
        <v>35</v>
      </c>
      <c r="D5" s="134" t="n">
        <v>86</v>
      </c>
      <c r="E5" s="135" t="n">
        <v>16</v>
      </c>
    </row>
    <row r="6" ht="20" customHeight="1">
      <c r="A6" s="118" t="inlineStr">
        <is>
          <t>Mar</t>
        </is>
      </c>
      <c r="B6" s="127" t="n">
        <v>46</v>
      </c>
      <c r="C6" s="128" t="n">
        <v>60</v>
      </c>
      <c r="D6" s="129" t="n">
        <v>106</v>
      </c>
      <c r="E6" s="136" t="n">
        <v>-14</v>
      </c>
    </row>
    <row r="7" ht="20" customHeight="1">
      <c r="A7" s="131" t="inlineStr">
        <is>
          <t>Apr</t>
        </is>
      </c>
      <c r="B7" s="132" t="n">
        <v>47</v>
      </c>
      <c r="C7" s="133" t="n">
        <v>67</v>
      </c>
      <c r="D7" s="134" t="n">
        <v>114</v>
      </c>
      <c r="E7" s="137" t="n">
        <v>-20</v>
      </c>
    </row>
    <row r="8" ht="20" customHeight="1">
      <c r="A8" s="118" t="inlineStr">
        <is>
          <t>May</t>
        </is>
      </c>
      <c r="B8" s="127" t="n">
        <v>60</v>
      </c>
      <c r="C8" s="128" t="n">
        <v>81</v>
      </c>
      <c r="D8" s="129" t="n">
        <v>141</v>
      </c>
      <c r="E8" s="136" t="n">
        <v>-21</v>
      </c>
    </row>
    <row r="9" ht="20" customHeight="1">
      <c r="A9" s="131" t="inlineStr">
        <is>
          <t>Jun</t>
        </is>
      </c>
      <c r="B9" s="138" t="n">
        <v>0</v>
      </c>
      <c r="C9" s="139" t="n">
        <v>0</v>
      </c>
      <c r="D9" s="134" t="n">
        <v>0</v>
      </c>
      <c r="E9" s="135" t="n">
        <v>0</v>
      </c>
    </row>
    <row r="10" ht="20" customHeight="1">
      <c r="A10" s="118" t="inlineStr">
        <is>
          <t>Jul</t>
        </is>
      </c>
      <c r="B10" s="119" t="n">
        <v>0</v>
      </c>
      <c r="C10" s="120" t="n">
        <v>0</v>
      </c>
      <c r="D10" s="129" t="n">
        <v>0</v>
      </c>
      <c r="E10" s="130" t="n">
        <v>0</v>
      </c>
    </row>
    <row r="11" ht="20" customHeight="1">
      <c r="A11" s="131" t="inlineStr">
        <is>
          <t>Aug</t>
        </is>
      </c>
      <c r="B11" s="138" t="n">
        <v>0</v>
      </c>
      <c r="C11" s="139" t="n">
        <v>0</v>
      </c>
      <c r="D11" s="134" t="n">
        <v>0</v>
      </c>
      <c r="E11" s="135" t="n">
        <v>0</v>
      </c>
    </row>
    <row r="12" ht="20" customHeight="1">
      <c r="A12" s="118" t="inlineStr">
        <is>
          <t>Sep</t>
        </is>
      </c>
      <c r="B12" s="119" t="n">
        <v>0</v>
      </c>
      <c r="C12" s="120" t="n">
        <v>0</v>
      </c>
      <c r="D12" s="129" t="n">
        <v>0</v>
      </c>
      <c r="E12" s="130" t="n">
        <v>0</v>
      </c>
    </row>
    <row r="13" ht="20" customHeight="1">
      <c r="A13" s="131" t="inlineStr">
        <is>
          <t>Oct</t>
        </is>
      </c>
      <c r="B13" s="138" t="n">
        <v>0</v>
      </c>
      <c r="C13" s="139" t="n">
        <v>0</v>
      </c>
      <c r="D13" s="134" t="n">
        <v>0</v>
      </c>
      <c r="E13" s="135" t="n">
        <v>0</v>
      </c>
    </row>
    <row r="14" ht="24" customHeight="1">
      <c r="A14" s="123" t="inlineStr">
        <is>
          <t>TOTAL YTD</t>
        </is>
      </c>
      <c r="B14" s="140" t="n">
        <v>250</v>
      </c>
      <c r="C14" s="141" t="n">
        <v>262</v>
      </c>
      <c r="D14" s="123" t="n">
        <v>512</v>
      </c>
      <c r="E14" s="142" t="n">
        <v>-12</v>
      </c>
    </row>
  </sheetData>
  <mergeCells count="1">
    <mergeCell ref="A1:E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 ht="32" customHeight="1">
      <c r="A1" s="122" t="inlineStr">
        <is>
          <t>EuroAir Intel — October 2026 Summary</t>
        </is>
      </c>
    </row>
    <row r="2"/>
    <row r="3">
      <c r="A3" s="123" t="inlineStr">
        <is>
          <t>Metric</t>
        </is>
      </c>
      <c r="B3" s="124" t="inlineStr">
        <is>
          <t>Boeing</t>
        </is>
      </c>
      <c r="C3" s="125" t="inlineStr">
        <is>
          <t>Airbus</t>
        </is>
      </c>
    </row>
    <row r="4" ht="22" customHeight="1">
      <c r="A4" s="143" t="inlineStr">
        <is>
          <t>Deliveries YTD</t>
        </is>
      </c>
      <c r="B4" s="127" t="n">
        <v>250</v>
      </c>
      <c r="C4" s="128" t="n">
        <v>262</v>
      </c>
    </row>
    <row r="5" ht="22" customHeight="1">
      <c r="A5" s="144" t="inlineStr">
        <is>
          <t>Gross Orders YTD</t>
        </is>
      </c>
      <c r="B5" s="132" t="n">
        <v>324</v>
      </c>
      <c r="C5" s="133" t="n">
        <v>815</v>
      </c>
    </row>
    <row r="6" ht="22" customHeight="1">
      <c r="A6" s="143" t="inlineStr">
        <is>
          <t>Total Backlog (ac)</t>
        </is>
      </c>
      <c r="B6" s="127" t="n">
        <v>6758</v>
      </c>
      <c r="C6" s="128" t="n">
        <v>9031</v>
      </c>
    </row>
    <row r="7" ht="22" customHeight="1">
      <c r="A7" s="144" t="inlineStr">
        <is>
          <t>Backlog Runway (yrs)</t>
        </is>
      </c>
      <c r="B7" s="132" t="n">
        <v>10.1</v>
      </c>
      <c r="C7" s="133" t="n">
        <v>10.4</v>
      </c>
    </row>
    <row r="8" ht="22" customHeight="1">
      <c r="A8" s="143" t="inlineStr">
        <is>
          <t>Narrowbody Deliv.</t>
        </is>
      </c>
      <c r="B8" s="127" t="n">
        <v>196</v>
      </c>
      <c r="C8" s="128" t="n">
        <v>193</v>
      </c>
    </row>
    <row r="9" ht="22" customHeight="1">
      <c r="A9" s="144" t="inlineStr">
        <is>
          <t>Widebody Deliv.</t>
        </is>
      </c>
      <c r="B9" s="132" t="n">
        <v>45</v>
      </c>
      <c r="C9" s="133" t="n">
        <v>48</v>
      </c>
    </row>
    <row r="10" ht="22" customHeight="1">
      <c r="A10" s="143" t="inlineStr">
        <is>
          <t>Stock Price</t>
        </is>
      </c>
      <c r="B10" s="127" t="inlineStr">
        <is>
          <t>$184.66 USD</t>
        </is>
      </c>
      <c r="C10" s="128" t="inlineStr">
        <is>
          <t>€193.62 EUR</t>
        </is>
      </c>
    </row>
    <row r="11" ht="22" customHeight="1">
      <c r="A11" s="144" t="inlineStr">
        <is>
          <t>Stock Change Today</t>
        </is>
      </c>
      <c r="B11" s="132" t="inlineStr">
        <is>
          <t>-0.98%</t>
        </is>
      </c>
      <c r="C11" s="133" t="inlineStr">
        <is>
          <t>+1.79%</t>
        </is>
      </c>
    </row>
    <row r="12" ht="22" customHeight="1">
      <c r="A12" s="143" t="inlineStr">
        <is>
          <t>52-Week High</t>
        </is>
      </c>
      <c r="B12" s="127" t="inlineStr">
        <is>
          <t>$254.35</t>
        </is>
      </c>
      <c r="C12" s="128" t="inlineStr">
        <is>
          <t>€221.3</t>
        </is>
      </c>
    </row>
    <row r="13" ht="22" customHeight="1">
      <c r="A13" s="144" t="inlineStr">
        <is>
          <t>52-Week Low</t>
        </is>
      </c>
      <c r="B13" s="132" t="inlineStr">
        <is>
          <t>$176.77</t>
        </is>
      </c>
      <c r="C13" s="133" t="inlineStr">
        <is>
          <t>€157.42</t>
        </is>
      </c>
    </row>
    <row r="15">
      <c r="A15" s="145" t="inlineStr">
        <is>
          <t>Source: Boeing.com · Airbus.com · Yahoo Finance · Generated 2026-10-15</t>
        </is>
      </c>
    </row>
  </sheetData>
  <mergeCells count="2">
    <mergeCell ref="A15:C15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2026-06-19T21:00:40Z</dcterms:created>
  <dcterms:modified xmlns:dcterms="http://purl.org/dc/terms/" xmlns:xsi="http://www.w3.org/2001/XMLSchema-instance" xsi:type="dcterms:W3CDTF">2026-10-15T12:55:02Z</dcterms:modified>
</cp:coreProperties>
</file>